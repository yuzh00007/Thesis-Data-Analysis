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aricio-words-freq" sheetId="1" state="visible" r:id="rId2"/>
    <sheet name="words-that-pass-ratio" sheetId="2" state="visible" r:id="rId3"/>
  </sheets>
  <definedNames>
    <definedName function="false" hidden="true" localSheetId="0" name="_xlnm._FilterDatabase" vbProcedure="false">'aparicio-words-freq'!$A$1:$I$46</definedName>
    <definedName function="false" hidden="true" localSheetId="1" name="_xlnm._FilterDatabase" vbProcedure="false">'words-that-pass-ratio'!$B$1:$C$34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<sst xmlns="http://schemas.openxmlformats.org/spreadsheetml/2006/main" count="239" uniqueCount="202">
  <si>
    <t xml:space="preserve">words</t>
  </si>
  <si>
    <t xml:space="preserve">weak</t>
  </si>
  <si>
    <t xml:space="preserve">strong</t>
  </si>
  <si>
    <t xml:space="preserve">rank weak</t>
  </si>
  <si>
    <t xml:space="preserve">freq weak</t>
  </si>
  <si>
    <t xml:space="preserve">rank strong</t>
  </si>
  <si>
    <t xml:space="preserve">freq strong</t>
  </si>
  <si>
    <t xml:space="preserve">rank-ratio</t>
  </si>
  <si>
    <t xml:space="preserve">freq-ratio</t>
  </si>
  <si>
    <t xml:space="preserve">hard/unsolvable</t>
  </si>
  <si>
    <t xml:space="preserve">hard</t>
  </si>
  <si>
    <t xml:space="preserve">unsolvable</t>
  </si>
  <si>
    <t xml:space="preserve">na</t>
  </si>
  <si>
    <t xml:space="preserve">hot/scalding</t>
  </si>
  <si>
    <t xml:space="preserve">hot</t>
  </si>
  <si>
    <t xml:space="preserve">scalding</t>
  </si>
  <si>
    <t xml:space="preserve">poor/destitute</t>
  </si>
  <si>
    <t xml:space="preserve">poor</t>
  </si>
  <si>
    <t xml:space="preserve">destitute</t>
  </si>
  <si>
    <t xml:space="preserve">large/gigantic</t>
  </si>
  <si>
    <t xml:space="preserve">large</t>
  </si>
  <si>
    <t xml:space="preserve">gigantic</t>
  </si>
  <si>
    <t xml:space="preserve">cold/frosty</t>
  </si>
  <si>
    <t xml:space="preserve">cold</t>
  </si>
  <si>
    <t xml:space="preserve">frosty</t>
  </si>
  <si>
    <t xml:space="preserve">soft/mushy</t>
  </si>
  <si>
    <t xml:space="preserve">soft</t>
  </si>
  <si>
    <t xml:space="preserve">mushy</t>
  </si>
  <si>
    <t xml:space="preserve">red/scarlet</t>
  </si>
  <si>
    <t xml:space="preserve">red</t>
  </si>
  <si>
    <t xml:space="preserve">scarlet</t>
  </si>
  <si>
    <t xml:space="preserve">happy/ecstatic</t>
  </si>
  <si>
    <t xml:space="preserve">happy</t>
  </si>
  <si>
    <t xml:space="preserve">ecstatic</t>
  </si>
  <si>
    <t xml:space="preserve">thick/impenetrable</t>
  </si>
  <si>
    <t xml:space="preserve">thick</t>
  </si>
  <si>
    <t xml:space="preserve">impenetrable</t>
  </si>
  <si>
    <t xml:space="preserve">hot/boiling</t>
  </si>
  <si>
    <t xml:space="preserve">boiling</t>
  </si>
  <si>
    <t xml:space="preserve">good/excellent</t>
  </si>
  <si>
    <t xml:space="preserve">good</t>
  </si>
  <si>
    <t xml:space="preserve">excellent</t>
  </si>
  <si>
    <t xml:space="preserve">happy/delighted</t>
  </si>
  <si>
    <t xml:space="preserve">delighted</t>
  </si>
  <si>
    <t xml:space="preserve">fat/obese</t>
  </si>
  <si>
    <t xml:space="preserve">fat</t>
  </si>
  <si>
    <t xml:space="preserve">obese</t>
  </si>
  <si>
    <t xml:space="preserve">scared/petrified</t>
  </si>
  <si>
    <t xml:space="preserve">scared</t>
  </si>
  <si>
    <t xml:space="preserve">petrified</t>
  </si>
  <si>
    <t xml:space="preserve">funny/hilarious</t>
  </si>
  <si>
    <t xml:space="preserve">funny</t>
  </si>
  <si>
    <t xml:space="preserve">hilarious</t>
  </si>
  <si>
    <t xml:space="preserve">cold/freezing</t>
  </si>
  <si>
    <t xml:space="preserve">freezing</t>
  </si>
  <si>
    <t xml:space="preserve">big/enormous</t>
  </si>
  <si>
    <t xml:space="preserve">big</t>
  </si>
  <si>
    <t xml:space="preserve">enormous</t>
  </si>
  <si>
    <t xml:space="preserve">old/ancient</t>
  </si>
  <si>
    <t xml:space="preserve">old</t>
  </si>
  <si>
    <t xml:space="preserve">ancient</t>
  </si>
  <si>
    <t xml:space="preserve">loud/deafening</t>
  </si>
  <si>
    <t xml:space="preserve">loud</t>
  </si>
  <si>
    <t xml:space="preserve">deafening</t>
  </si>
  <si>
    <t xml:space="preserve">calm/meditative</t>
  </si>
  <si>
    <t xml:space="preserve">calm</t>
  </si>
  <si>
    <t xml:space="preserve">meditative</t>
  </si>
  <si>
    <t xml:space="preserve">good/perfect</t>
  </si>
  <si>
    <t xml:space="preserve">perfect</t>
  </si>
  <si>
    <t xml:space="preserve">quiet/inaudible</t>
  </si>
  <si>
    <t xml:space="preserve">quiet</t>
  </si>
  <si>
    <t xml:space="preserve">inaudible</t>
  </si>
  <si>
    <t xml:space="preserve">ugly/hideous</t>
  </si>
  <si>
    <t xml:space="preserve">ugly</t>
  </si>
  <si>
    <t xml:space="preserve">hideous</t>
  </si>
  <si>
    <t xml:space="preserve">palatable/delicious</t>
  </si>
  <si>
    <t xml:space="preserve">palatable</t>
  </si>
  <si>
    <t xml:space="preserve">delicious</t>
  </si>
  <si>
    <t xml:space="preserve">small/tiny</t>
  </si>
  <si>
    <t xml:space="preserve">small</t>
  </si>
  <si>
    <t xml:space="preserve">tiny</t>
  </si>
  <si>
    <t xml:space="preserve">big/huge</t>
  </si>
  <si>
    <t xml:space="preserve">huge</t>
  </si>
  <si>
    <t xml:space="preserve">hungry/starving</t>
  </si>
  <si>
    <t xml:space="preserve">hungry</t>
  </si>
  <si>
    <t xml:space="preserve">starving</t>
  </si>
  <si>
    <t xml:space="preserve">cheap/free</t>
  </si>
  <si>
    <t xml:space="preserve">cheap</t>
  </si>
  <si>
    <t xml:space="preserve">free</t>
  </si>
  <si>
    <t xml:space="preserve">sleepy/asleep</t>
  </si>
  <si>
    <t xml:space="preserve">sleepy</t>
  </si>
  <si>
    <t xml:space="preserve">asleep</t>
  </si>
  <si>
    <t xml:space="preserve">special/unique</t>
  </si>
  <si>
    <t xml:space="preserve">special</t>
  </si>
  <si>
    <t xml:space="preserve">unique</t>
  </si>
  <si>
    <t xml:space="preserve">pretty/gorgeous</t>
  </si>
  <si>
    <t xml:space="preserve">pretty</t>
  </si>
  <si>
    <t xml:space="preserve">gorgeous</t>
  </si>
  <si>
    <t xml:space="preserve">dark/black</t>
  </si>
  <si>
    <t xml:space="preserve">dark</t>
  </si>
  <si>
    <t xml:space="preserve">black</t>
  </si>
  <si>
    <t xml:space="preserve">bright/brilliant</t>
  </si>
  <si>
    <t xml:space="preserve">bright</t>
  </si>
  <si>
    <t xml:space="preserve">brilliant</t>
  </si>
  <si>
    <t xml:space="preserve">wary/scared</t>
  </si>
  <si>
    <t xml:space="preserve">wary</t>
  </si>
  <si>
    <t xml:space="preserve">difficult/impossible</t>
  </si>
  <si>
    <t xml:space="preserve">difficult</t>
  </si>
  <si>
    <t xml:space="preserve">impossible</t>
  </si>
  <si>
    <t xml:space="preserve">pretty/beautiful</t>
  </si>
  <si>
    <t xml:space="preserve">beautiful</t>
  </si>
  <si>
    <t xml:space="preserve">understandable/articulate</t>
  </si>
  <si>
    <t xml:space="preserve">understandable</t>
  </si>
  <si>
    <t xml:space="preserve">articulate</t>
  </si>
  <si>
    <t xml:space="preserve">tasty/delicious</t>
  </si>
  <si>
    <t xml:space="preserve">tasty</t>
  </si>
  <si>
    <t xml:space="preserve">attractive/stunning</t>
  </si>
  <si>
    <t xml:space="preserve">attractive</t>
  </si>
  <si>
    <t xml:space="preserve">stunning</t>
  </si>
  <si>
    <t xml:space="preserve">smart/brilliant</t>
  </si>
  <si>
    <t xml:space="preserve">smart</t>
  </si>
  <si>
    <t xml:space="preserve">warm/hot</t>
  </si>
  <si>
    <t xml:space="preserve">warm</t>
  </si>
  <si>
    <t xml:space="preserve">tough/impossible</t>
  </si>
  <si>
    <t xml:space="preserve">tough</t>
  </si>
  <si>
    <t xml:space="preserve">cool/cold</t>
  </si>
  <si>
    <t xml:space="preserve">cool</t>
  </si>
  <si>
    <t xml:space="preserve">quiet/silent</t>
  </si>
  <si>
    <t xml:space="preserve">silent</t>
  </si>
  <si>
    <t xml:space="preserve">unhappy/miserable</t>
  </si>
  <si>
    <t xml:space="preserve">unhappy</t>
  </si>
  <si>
    <t xml:space="preserve">miserable</t>
  </si>
  <si>
    <t xml:space="preserve">scale-Aparicio</t>
  </si>
  <si>
    <t xml:space="preserve">img1</t>
  </si>
  <si>
    <t xml:space="preserve">img2</t>
  </si>
  <si>
    <t xml:space="preserve">did not pretest w/ images (but passed from Aparicio)</t>
  </si>
  <si>
    <t xml:space="preserve">angry.png</t>
  </si>
  <si>
    <t xml:space="preserve">outraged.png</t>
  </si>
  <si>
    <t xml:space="preserve">bad.png</t>
  </si>
  <si>
    <t xml:space="preserve">atrocious.png</t>
  </si>
  <si>
    <t xml:space="preserve">big.png</t>
  </si>
  <si>
    <t xml:space="preserve">enormous.png</t>
  </si>
  <si>
    <t xml:space="preserve">brief.png</t>
  </si>
  <si>
    <t xml:space="preserve">ephemeral.jpg</t>
  </si>
  <si>
    <t xml:space="preserve">cold-2.png</t>
  </si>
  <si>
    <t xml:space="preserve">freezing.png</t>
  </si>
  <si>
    <t xml:space="preserve">decent.png</t>
  </si>
  <si>
    <t xml:space="preserve">impeccable.png</t>
  </si>
  <si>
    <t xml:space="preserve">easy.png</t>
  </si>
  <si>
    <t xml:space="preserve">trivial.png</t>
  </si>
  <si>
    <t xml:space="preserve">fancy.jpg</t>
  </si>
  <si>
    <t xml:space="preserve">opulent.png</t>
  </si>
  <si>
    <t xml:space="preserve">fat.png</t>
  </si>
  <si>
    <t xml:space="preserve">obese.png</t>
  </si>
  <si>
    <t xml:space="preserve">funny.png</t>
  </si>
  <si>
    <t xml:space="preserve">hilarious.png</t>
  </si>
  <si>
    <t xml:space="preserve">good.png</t>
  </si>
  <si>
    <t xml:space="preserve">excellent.png</t>
  </si>
  <si>
    <t xml:space="preserve">happy-5.png</t>
  </si>
  <si>
    <t xml:space="preserve">delighted.png</t>
  </si>
  <si>
    <t xml:space="preserve">happy.png</t>
  </si>
  <si>
    <t xml:space="preserve">jubilant.png</t>
  </si>
  <si>
    <t xml:space="preserve">hard.png</t>
  </si>
  <si>
    <t xml:space="preserve">difficult.png</t>
  </si>
  <si>
    <t xml:space="preserve">heavy.jpg</t>
  </si>
  <si>
    <t xml:space="preserve">onerous.png</t>
  </si>
  <si>
    <t xml:space="preserve">high.png</t>
  </si>
  <si>
    <t xml:space="preserve">exorbitant.png</t>
  </si>
  <si>
    <t xml:space="preserve">hot.png</t>
  </si>
  <si>
    <t xml:space="preserve">scalding.png</t>
  </si>
  <si>
    <t xml:space="preserve">loud-2.png</t>
  </si>
  <si>
    <t xml:space="preserve">deafening.png</t>
  </si>
  <si>
    <t xml:space="preserve">low.png</t>
  </si>
  <si>
    <t xml:space="preserve">depleted.png</t>
  </si>
  <si>
    <t xml:space="preserve">messy.png</t>
  </si>
  <si>
    <t xml:space="preserve">indecipherable.png</t>
  </si>
  <si>
    <t xml:space="preserve">nearby.png</t>
  </si>
  <si>
    <t xml:space="preserve">adjoining.png</t>
  </si>
  <si>
    <t xml:space="preserve">old.png</t>
  </si>
  <si>
    <t xml:space="preserve">ancient.jpg</t>
  </si>
  <si>
    <t xml:space="preserve">plain.png</t>
  </si>
  <si>
    <t xml:space="preserve">spartan.jpg</t>
  </si>
  <si>
    <t xml:space="preserve">quiet.png</t>
  </si>
  <si>
    <t xml:space="preserve">imperceivable.png</t>
  </si>
  <si>
    <t xml:space="preserve">rare.png</t>
  </si>
  <si>
    <t xml:space="preserve">extinct.png</t>
  </si>
  <si>
    <t xml:space="preserve">sad-2.png</t>
  </si>
  <si>
    <t xml:space="preserve">despondent.png</t>
  </si>
  <si>
    <t xml:space="preserve">sad-4.png</t>
  </si>
  <si>
    <t xml:space="preserve">miserable.png</t>
  </si>
  <si>
    <t xml:space="preserve">similar.png</t>
  </si>
  <si>
    <t xml:space="preserve">identical.png</t>
  </si>
  <si>
    <t xml:space="preserve">slow.jpg</t>
  </si>
  <si>
    <t xml:space="preserve">glacial.jpg</t>
  </si>
  <si>
    <t xml:space="preserve">small.png</t>
  </si>
  <si>
    <t xml:space="preserve">miniscule.png</t>
  </si>
  <si>
    <t xml:space="preserve">smart.jpg</t>
  </si>
  <si>
    <t xml:space="preserve">brilliant.png</t>
  </si>
  <si>
    <t xml:space="preserve">soft.jpg</t>
  </si>
  <si>
    <t xml:space="preserve">mushy.png</t>
  </si>
  <si>
    <t xml:space="preserve">wet.png</t>
  </si>
  <si>
    <t xml:space="preserve">drenched.png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</si>
</sst>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168253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7" activeCellId="0" sqref="F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2.64"/>
    <col collapsed="false" customWidth="false" hidden="false" outlineLevel="0" max="1024" min="3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4" t="s">
        <v>10</v>
      </c>
      <c r="C2" s="4" t="s">
        <v>11</v>
      </c>
      <c r="D2" s="4" t="n">
        <v>439</v>
      </c>
      <c r="E2" s="4" t="n">
        <v>86817</v>
      </c>
      <c r="F2" s="5" t="s">
        <v>12</v>
      </c>
      <c r="G2" s="5" t="s">
        <v>12</v>
      </c>
      <c r="H2" s="5" t="e">
        <f aca="false">LOG(F2/D2,10)</f>
        <v>#VALUE!</v>
      </c>
      <c r="I2" s="5" t="e">
        <f aca="false">LOG(E2/G2,10)</f>
        <v>#VALUE!</v>
      </c>
    </row>
    <row r="3" customFormat="false" ht="12.8" hidden="false" customHeight="false" outlineLevel="0" collapsed="false">
      <c r="A3" s="4" t="s">
        <v>13</v>
      </c>
      <c r="B3" s="4" t="s">
        <v>14</v>
      </c>
      <c r="C3" s="4" t="s">
        <v>15</v>
      </c>
      <c r="D3" s="4" t="n">
        <v>722</v>
      </c>
      <c r="E3" s="4" t="n">
        <v>54601</v>
      </c>
      <c r="F3" s="5" t="s">
        <v>12</v>
      </c>
      <c r="G3" s="5" t="s">
        <v>12</v>
      </c>
      <c r="H3" s="5" t="e">
        <f aca="false">LOG(F3/D3,10)</f>
        <v>#VALUE!</v>
      </c>
      <c r="I3" s="5" t="e">
        <f aca="false">LOG(E3/G3,10)</f>
        <v>#VALUE!</v>
      </c>
    </row>
    <row r="4" customFormat="false" ht="12.8" hidden="false" customHeight="false" outlineLevel="0" collapsed="false">
      <c r="A4" s="4" t="s">
        <v>16</v>
      </c>
      <c r="B4" s="4" t="s">
        <v>17</v>
      </c>
      <c r="C4" s="4" t="s">
        <v>18</v>
      </c>
      <c r="D4" s="4" t="n">
        <v>714</v>
      </c>
      <c r="E4" s="4" t="n">
        <v>53820</v>
      </c>
      <c r="F4" s="5" t="n">
        <v>17273</v>
      </c>
      <c r="G4" s="5" t="n">
        <v>535</v>
      </c>
      <c r="H4" s="5" t="n">
        <f aca="false">LOG(F4/D4,10)</f>
        <v>1.38366956124559</v>
      </c>
      <c r="I4" s="5" t="n">
        <f aca="false">LOG(E4/G4,10)</f>
        <v>2.00258991140651</v>
      </c>
    </row>
    <row r="5" customFormat="false" ht="12.8" hidden="false" customHeight="false" outlineLevel="0" collapsed="false">
      <c r="A5" s="4" t="s">
        <v>19</v>
      </c>
      <c r="B5" s="4" t="s">
        <v>20</v>
      </c>
      <c r="C5" s="4" t="s">
        <v>21</v>
      </c>
      <c r="D5" s="4" t="n">
        <v>221</v>
      </c>
      <c r="E5" s="4" t="n">
        <v>175611</v>
      </c>
      <c r="F5" s="5" t="n">
        <v>7924</v>
      </c>
      <c r="G5" s="5" t="n">
        <v>2287</v>
      </c>
      <c r="H5" s="5" t="n">
        <f aca="false">LOG(F5/D5,10)</f>
        <v>1.5545521931814</v>
      </c>
      <c r="I5" s="5" t="n">
        <f aca="false">LOG(E5/G5,10)</f>
        <v>1.88528555134647</v>
      </c>
    </row>
    <row r="6" customFormat="false" ht="12.8" hidden="false" customHeight="false" outlineLevel="0" collapsed="false">
      <c r="A6" s="4" t="s">
        <v>22</v>
      </c>
      <c r="B6" s="4" t="s">
        <v>23</v>
      </c>
      <c r="C6" s="4" t="s">
        <v>24</v>
      </c>
      <c r="D6" s="4" t="n">
        <v>888</v>
      </c>
      <c r="E6" s="4" t="n">
        <v>44649</v>
      </c>
      <c r="F6" s="5" t="n">
        <v>14957</v>
      </c>
      <c r="G6" s="5" t="n">
        <v>748</v>
      </c>
      <c r="H6" s="5" t="n">
        <f aca="false">LOG(F6/D6,10)</f>
        <v>1.22643152787685</v>
      </c>
      <c r="I6" s="5" t="n">
        <f aca="false">LOG(E6/G6,10)</f>
        <v>1.77591013861105</v>
      </c>
    </row>
    <row r="7" customFormat="false" ht="12.8" hidden="false" customHeight="false" outlineLevel="0" collapsed="false">
      <c r="A7" s="4" t="s">
        <v>25</v>
      </c>
      <c r="B7" s="4" t="s">
        <v>26</v>
      </c>
      <c r="C7" s="4" t="s">
        <v>27</v>
      </c>
      <c r="D7" s="4" t="n">
        <v>1381</v>
      </c>
      <c r="E7" s="4" t="n">
        <v>27970</v>
      </c>
      <c r="F7" s="5" t="n">
        <v>18362</v>
      </c>
      <c r="G7" s="5" t="n">
        <v>478</v>
      </c>
      <c r="H7" s="5" t="n">
        <f aca="false">LOG(F7/D7,10)</f>
        <v>1.12372630447714</v>
      </c>
      <c r="I7" s="5" t="n">
        <f aca="false">LOG(E7/G7,10)</f>
        <v>1.76726456975941</v>
      </c>
    </row>
    <row r="8" customFormat="false" ht="12.8" hidden="false" customHeight="false" outlineLevel="0" collapsed="false">
      <c r="A8" s="4" t="s">
        <v>28</v>
      </c>
      <c r="B8" s="4" t="s">
        <v>29</v>
      </c>
      <c r="C8" s="4" t="s">
        <v>30</v>
      </c>
      <c r="D8" s="4" t="n">
        <v>598</v>
      </c>
      <c r="E8" s="4" t="n">
        <v>66217</v>
      </c>
      <c r="F8" s="5" t="n">
        <v>10590</v>
      </c>
      <c r="G8" s="5" t="n">
        <v>1432</v>
      </c>
      <c r="H8" s="5" t="n">
        <f aca="false">LOG(F8/D8,10)</f>
        <v>1.24819477611907</v>
      </c>
      <c r="I8" s="5" t="n">
        <f aca="false">LOG(E8/G8,10)</f>
        <v>1.66502648292384</v>
      </c>
    </row>
    <row r="9" customFormat="false" ht="12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748</v>
      </c>
      <c r="E9" s="4" t="n">
        <v>51669</v>
      </c>
      <c r="F9" s="5" t="n">
        <v>10656</v>
      </c>
      <c r="G9" s="5" t="n">
        <v>1343</v>
      </c>
      <c r="H9" s="5" t="n">
        <f aca="false">LOG(F9/D9,10)</f>
        <v>1.15369261396176</v>
      </c>
      <c r="I9" s="5" t="n">
        <f aca="false">LOG(E9/G9,10)</f>
        <v>1.58515404363823</v>
      </c>
    </row>
    <row r="10" customFormat="false" ht="12.8" hidden="false" customHeight="false" outlineLevel="0" collapsed="false">
      <c r="A10" s="4" t="s">
        <v>34</v>
      </c>
      <c r="B10" s="4" t="s">
        <v>35</v>
      </c>
      <c r="C10" s="4" t="s">
        <v>36</v>
      </c>
      <c r="D10" s="4" t="n">
        <v>1734</v>
      </c>
      <c r="E10" s="4" t="n">
        <v>21932</v>
      </c>
      <c r="F10" s="5" t="n">
        <v>14154</v>
      </c>
      <c r="G10" s="5" t="n">
        <v>812</v>
      </c>
      <c r="H10" s="5" t="n">
        <f aca="false">LOG(F10/D10,10)</f>
        <v>0.911830098129047</v>
      </c>
      <c r="I10" s="5" t="n">
        <f aca="false">LOG(E10/G10,10)</f>
        <v>1.43152220797027</v>
      </c>
    </row>
    <row r="11" customFormat="false" ht="12.8" hidden="false" customHeight="false" outlineLevel="0" collapsed="false">
      <c r="A11" s="4" t="s">
        <v>37</v>
      </c>
      <c r="B11" s="4" t="s">
        <v>14</v>
      </c>
      <c r="C11" s="4" t="s">
        <v>38</v>
      </c>
      <c r="D11" s="4" t="n">
        <v>722</v>
      </c>
      <c r="E11" s="4" t="n">
        <v>54601</v>
      </c>
      <c r="F11" s="5" t="n">
        <v>7819</v>
      </c>
      <c r="G11" s="5" t="n">
        <v>2407</v>
      </c>
      <c r="H11" s="5" t="n">
        <f aca="false">LOG(F11/D11,10)</f>
        <v>1.03461401556023</v>
      </c>
      <c r="I11" s="5" t="n">
        <f aca="false">LOG(E11/G11,10)</f>
        <v>1.35572450646826</v>
      </c>
    </row>
    <row r="12" customFormat="false" ht="12.8" hidden="false" customHeight="false" outlineLevel="0" collapsed="false">
      <c r="A12" s="4" t="s">
        <v>39</v>
      </c>
      <c r="B12" s="4" t="s">
        <v>40</v>
      </c>
      <c r="C12" s="4" t="s">
        <v>41</v>
      </c>
      <c r="D12" s="4" t="n">
        <v>110</v>
      </c>
      <c r="E12" s="4" t="n">
        <v>353973</v>
      </c>
      <c r="F12" s="5" t="n">
        <v>2140</v>
      </c>
      <c r="G12" s="5" t="n">
        <v>16094</v>
      </c>
      <c r="H12" s="5" t="n">
        <f aca="false">LOG(F12/D12,10)</f>
        <v>1.28902108819097</v>
      </c>
      <c r="I12" s="5" t="n">
        <f aca="false">LOG(E12/G12,10)</f>
        <v>1.34230613961618</v>
      </c>
    </row>
    <row r="13" customFormat="false" ht="12.8" hidden="false" customHeight="false" outlineLevel="0" collapsed="false">
      <c r="A13" s="4" t="s">
        <v>42</v>
      </c>
      <c r="B13" s="4" t="s">
        <v>32</v>
      </c>
      <c r="C13" s="4" t="s">
        <v>43</v>
      </c>
      <c r="D13" s="4" t="n">
        <v>748</v>
      </c>
      <c r="E13" s="4" t="n">
        <v>51669</v>
      </c>
      <c r="F13" s="5" t="n">
        <v>6710</v>
      </c>
      <c r="G13" s="5" t="n">
        <v>2987</v>
      </c>
      <c r="H13" s="5" t="n">
        <f aca="false">LOG(F13/D13,10)</f>
        <v>0.952820922304531</v>
      </c>
      <c r="I13" s="5" t="n">
        <f aca="false">LOG(E13/G13,10)</f>
        <v>1.23799483370282</v>
      </c>
    </row>
    <row r="14" customFormat="false" ht="12.8" hidden="false" customHeight="false" outlineLevel="0" collapsed="false">
      <c r="A14" s="4" t="s">
        <v>44</v>
      </c>
      <c r="B14" s="4" t="s">
        <v>45</v>
      </c>
      <c r="C14" s="4" t="s">
        <v>46</v>
      </c>
      <c r="D14" s="4" t="n">
        <v>2357</v>
      </c>
      <c r="E14" s="4" t="n">
        <v>24844</v>
      </c>
      <c r="F14" s="5" t="n">
        <v>10580</v>
      </c>
      <c r="G14" s="5" t="n">
        <v>1485</v>
      </c>
      <c r="H14" s="5" t="n">
        <f aca="false">LOG(F14/D14,10)</f>
        <v>0.652126085174843</v>
      </c>
      <c r="I14" s="5" t="n">
        <f aca="false">LOG(E14/G14,10)</f>
        <v>1.22349506692028</v>
      </c>
    </row>
    <row r="15" customFormat="false" ht="12.8" hidden="false" customHeight="false" outlineLevel="0" collapsed="false">
      <c r="A15" s="4" t="s">
        <v>47</v>
      </c>
      <c r="B15" s="4" t="s">
        <v>48</v>
      </c>
      <c r="C15" s="4" t="s">
        <v>49</v>
      </c>
      <c r="D15" s="4" t="n">
        <v>2990</v>
      </c>
      <c r="E15" s="4" t="n">
        <v>10752</v>
      </c>
      <c r="F15" s="5" t="n">
        <v>15561</v>
      </c>
      <c r="G15" s="5" t="n">
        <v>680</v>
      </c>
      <c r="H15" s="5" t="n">
        <f aca="false">LOG(F15/D15,10)</f>
        <v>0.716366314388818</v>
      </c>
      <c r="I15" s="5" t="n">
        <f aca="false">LOG(E15/G15,10)</f>
        <v>1.19898034300351</v>
      </c>
    </row>
    <row r="16" customFormat="false" ht="12.8" hidden="false" customHeight="false" outlineLevel="0" collapsed="false">
      <c r="A16" s="4" t="s">
        <v>50</v>
      </c>
      <c r="B16" s="4" t="s">
        <v>51</v>
      </c>
      <c r="C16" s="4" t="s">
        <v>52</v>
      </c>
      <c r="D16" s="4" t="n">
        <v>1803</v>
      </c>
      <c r="E16" s="4" t="n">
        <v>20399</v>
      </c>
      <c r="F16" s="5" t="n">
        <v>10910</v>
      </c>
      <c r="G16" s="5" t="n">
        <v>1310</v>
      </c>
      <c r="H16" s="5" t="n">
        <f aca="false">LOG(F16/D16,10)</f>
        <v>0.78182902386594</v>
      </c>
      <c r="I16" s="5" t="n">
        <f aca="false">LOG(E16/G16,10)</f>
        <v>1.19233758230314</v>
      </c>
    </row>
    <row r="17" customFormat="false" ht="12.8" hidden="false" customHeight="false" outlineLevel="0" collapsed="false">
      <c r="A17" s="4" t="s">
        <v>53</v>
      </c>
      <c r="B17" s="4" t="s">
        <v>23</v>
      </c>
      <c r="C17" s="4" t="s">
        <v>54</v>
      </c>
      <c r="D17" s="4" t="n">
        <v>888</v>
      </c>
      <c r="E17" s="4" t="n">
        <v>44649</v>
      </c>
      <c r="F17" s="5" t="n">
        <v>6463</v>
      </c>
      <c r="G17" s="5" t="n">
        <v>3226</v>
      </c>
      <c r="H17" s="5" t="n">
        <f aca="false">LOG(F17/D17,10)</f>
        <v>0.862021190144072</v>
      </c>
      <c r="I17" s="5" t="n">
        <f aca="false">LOG(E17/G17,10)</f>
        <v>1.14114737342257</v>
      </c>
    </row>
    <row r="18" customFormat="false" ht="12.8" hidden="false" customHeight="false" outlineLevel="0" collapsed="false">
      <c r="A18" s="4" t="s">
        <v>55</v>
      </c>
      <c r="B18" s="4" t="s">
        <v>56</v>
      </c>
      <c r="C18" s="4" t="s">
        <v>57</v>
      </c>
      <c r="D18" s="4" t="n">
        <v>162</v>
      </c>
      <c r="E18" s="4" t="n">
        <v>227169</v>
      </c>
      <c r="F18" s="5" t="n">
        <v>2007</v>
      </c>
      <c r="G18" s="5" t="n">
        <v>17482</v>
      </c>
      <c r="H18" s="5" t="n">
        <f aca="false">LOG(F18/D18,10)</f>
        <v>1.09303235794485</v>
      </c>
      <c r="I18" s="5" t="n">
        <f aca="false">LOG(E18/G18,10)</f>
        <v>1.11375795036647</v>
      </c>
    </row>
    <row r="19" customFormat="false" ht="12.8" hidden="false" customHeight="false" outlineLevel="0" collapsed="false">
      <c r="A19" s="4" t="s">
        <v>58</v>
      </c>
      <c r="B19" s="4" t="s">
        <v>59</v>
      </c>
      <c r="C19" s="4" t="s">
        <v>60</v>
      </c>
      <c r="D19" s="4" t="n">
        <v>152</v>
      </c>
      <c r="E19" s="4" t="n">
        <v>236577</v>
      </c>
      <c r="F19" s="5" t="n">
        <v>1832</v>
      </c>
      <c r="G19" s="5" t="n">
        <v>19818</v>
      </c>
      <c r="H19" s="5" t="n">
        <f aca="false">LOG(F19/D19,10)</f>
        <v>1.08108188138706</v>
      </c>
      <c r="I19" s="5" t="n">
        <f aca="false">LOG(E19/G19,10)</f>
        <v>1.07691269618887</v>
      </c>
    </row>
    <row r="20" customFormat="false" ht="12.8" hidden="false" customHeight="false" outlineLevel="0" collapsed="false">
      <c r="A20" s="4" t="s">
        <v>61</v>
      </c>
      <c r="B20" s="4" t="s">
        <v>62</v>
      </c>
      <c r="C20" s="4" t="s">
        <v>63</v>
      </c>
      <c r="D20" s="4" t="n">
        <v>3120</v>
      </c>
      <c r="E20" s="4" t="n">
        <v>10324</v>
      </c>
      <c r="F20" s="5" t="n">
        <v>13698</v>
      </c>
      <c r="G20" s="5" t="n">
        <v>890</v>
      </c>
      <c r="H20" s="5" t="n">
        <f aca="false">LOG(F20/D20,10)</f>
        <v>0.642502567855436</v>
      </c>
      <c r="I20" s="5" t="n">
        <f aca="false">LOG(E20/G20,10)</f>
        <v>1.06445798922692</v>
      </c>
    </row>
    <row r="21" customFormat="false" ht="12.8" hidden="false" customHeight="false" outlineLevel="0" collapsed="false">
      <c r="A21" s="4" t="s">
        <v>64</v>
      </c>
      <c r="B21" s="4" t="s">
        <v>65</v>
      </c>
      <c r="C21" s="4" t="s">
        <v>66</v>
      </c>
      <c r="D21" s="4" t="n">
        <v>4778</v>
      </c>
      <c r="E21" s="4" t="n">
        <v>5309</v>
      </c>
      <c r="F21" s="5" t="n">
        <v>18571</v>
      </c>
      <c r="G21" s="5" t="n">
        <v>469</v>
      </c>
      <c r="H21" s="5" t="n">
        <f aca="false">LOG(F21/D21,10)</f>
        <v>0.589589144582727</v>
      </c>
      <c r="I21" s="5" t="n">
        <f aca="false">LOG(E21/G21,10)</f>
        <v>1.05383988262607</v>
      </c>
    </row>
    <row r="22" customFormat="false" ht="12.8" hidden="false" customHeight="false" outlineLevel="0" collapsed="false">
      <c r="A22" s="4" t="s">
        <v>67</v>
      </c>
      <c r="B22" s="4" t="s">
        <v>40</v>
      </c>
      <c r="C22" s="4" t="s">
        <v>68</v>
      </c>
      <c r="D22" s="4" t="n">
        <v>110</v>
      </c>
      <c r="E22" s="4" t="n">
        <v>353973</v>
      </c>
      <c r="F22" s="5" t="n">
        <v>1163</v>
      </c>
      <c r="G22" s="5" t="n">
        <v>33456</v>
      </c>
      <c r="H22" s="5" t="n">
        <f aca="false">LOG(F22/D22,10)</f>
        <v>1.02418702957022</v>
      </c>
      <c r="I22" s="5" t="n">
        <f aca="false">LOG(E22/G22,10)</f>
        <v>1.02449612113352</v>
      </c>
    </row>
    <row r="23" customFormat="false" ht="12.8" hidden="false" customHeight="false" outlineLevel="0" collapsed="false">
      <c r="A23" s="6" t="s">
        <v>69</v>
      </c>
      <c r="B23" s="6" t="s">
        <v>70</v>
      </c>
      <c r="C23" s="6" t="s">
        <v>71</v>
      </c>
      <c r="D23" s="6" t="n">
        <v>1442</v>
      </c>
      <c r="E23" s="6" t="n">
        <v>26732</v>
      </c>
      <c r="F23" s="1" t="n">
        <v>6924</v>
      </c>
      <c r="G23" s="1" t="n">
        <v>3712</v>
      </c>
      <c r="H23" s="1" t="n">
        <f aca="false">LOG(F23/D23,10)</f>
        <v>0.681391798819946</v>
      </c>
      <c r="I23" s="1" t="n">
        <f aca="false">LOG(E23/G23,10)</f>
        <v>0.857423484904831</v>
      </c>
    </row>
    <row r="24" customFormat="false" ht="12.8" hidden="false" customHeight="false" outlineLevel="0" collapsed="false">
      <c r="A24" s="6" t="s">
        <v>72</v>
      </c>
      <c r="B24" s="6" t="s">
        <v>73</v>
      </c>
      <c r="C24" s="6" t="s">
        <v>74</v>
      </c>
      <c r="D24" s="6" t="n">
        <v>3288</v>
      </c>
      <c r="E24" s="6" t="n">
        <v>9267</v>
      </c>
      <c r="F24" s="1" t="n">
        <v>11205</v>
      </c>
      <c r="G24" s="1" t="n">
        <v>1291</v>
      </c>
      <c r="H24" s="1" t="n">
        <f aca="false">LOG(F24/D24,10)</f>
        <v>0.532480052003067</v>
      </c>
      <c r="I24" s="1" t="n">
        <f aca="false">LOG(E24/G24,10)</f>
        <v>0.856012920754693</v>
      </c>
    </row>
    <row r="25" customFormat="false" ht="12.8" hidden="false" customHeight="false" outlineLevel="0" collapsed="false">
      <c r="A25" s="6" t="s">
        <v>75</v>
      </c>
      <c r="B25" s="6" t="s">
        <v>76</v>
      </c>
      <c r="C25" s="6" t="s">
        <v>77</v>
      </c>
      <c r="D25" s="6" t="n">
        <v>15072</v>
      </c>
      <c r="E25" s="6" t="n">
        <v>702</v>
      </c>
      <c r="F25" s="1" t="n">
        <v>5042</v>
      </c>
      <c r="G25" s="1" t="n">
        <v>4963</v>
      </c>
      <c r="H25" s="1" t="n">
        <f aca="false">LOG(F25/D25,10)</f>
        <v>-0.475568044108375</v>
      </c>
      <c r="I25" s="1" t="n">
        <f aca="false">LOG(G25/E25,10)</f>
        <v>0.849407163067518</v>
      </c>
    </row>
    <row r="26" customFormat="false" ht="12.8" hidden="false" customHeight="false" outlineLevel="0" collapsed="false">
      <c r="A26" s="6" t="s">
        <v>78</v>
      </c>
      <c r="B26" s="6" t="s">
        <v>79</v>
      </c>
      <c r="C26" s="6" t="s">
        <v>80</v>
      </c>
      <c r="D26" s="6" t="n">
        <v>203</v>
      </c>
      <c r="E26" s="6" t="n">
        <v>185463</v>
      </c>
      <c r="F26" s="1" t="n">
        <v>1320</v>
      </c>
      <c r="G26" s="1" t="n">
        <v>29756</v>
      </c>
      <c r="H26" s="1" t="n">
        <f aca="false">LOG(F26/D26,10)</f>
        <v>0.813077893292637</v>
      </c>
      <c r="I26" s="1" t="n">
        <f aca="false">LOG(E26/G26,10)</f>
        <v>0.794682730499077</v>
      </c>
    </row>
    <row r="27" customFormat="false" ht="12.8" hidden="false" customHeight="false" outlineLevel="0" collapsed="false">
      <c r="A27" s="6" t="s">
        <v>81</v>
      </c>
      <c r="B27" s="6" t="s">
        <v>56</v>
      </c>
      <c r="C27" s="6" t="s">
        <v>82</v>
      </c>
      <c r="D27" s="6" t="n">
        <v>162</v>
      </c>
      <c r="E27" s="6" t="n">
        <v>227169</v>
      </c>
      <c r="F27" s="1" t="n">
        <v>914</v>
      </c>
      <c r="G27" s="1" t="n">
        <v>42582</v>
      </c>
      <c r="H27" s="1" t="n">
        <f aca="false">LOG(F27/D27,10)</f>
        <v>0.7514311811912</v>
      </c>
      <c r="I27" s="1" t="n">
        <f aca="false">LOG(E27/G27,10)</f>
        <v>0.727123010653995</v>
      </c>
    </row>
    <row r="28" customFormat="false" ht="12.8" hidden="false" customHeight="false" outlineLevel="0" collapsed="false">
      <c r="A28" s="6" t="s">
        <v>83</v>
      </c>
      <c r="B28" s="6" t="s">
        <v>84</v>
      </c>
      <c r="C28" s="6" t="s">
        <v>85</v>
      </c>
      <c r="D28" s="6" t="n">
        <v>3208</v>
      </c>
      <c r="E28" s="6" t="n">
        <v>9653</v>
      </c>
      <c r="F28" s="1" t="n">
        <v>8782</v>
      </c>
      <c r="G28" s="1" t="n">
        <v>1933</v>
      </c>
      <c r="H28" s="1" t="n">
        <f aca="false">LOG(F28/D28,10)</f>
        <v>0.437359073156243</v>
      </c>
      <c r="I28" s="1" t="n">
        <f aca="false">LOG(E28/G28,10)</f>
        <v>0.698430452161553</v>
      </c>
    </row>
    <row r="29" customFormat="false" ht="12.8" hidden="false" customHeight="false" outlineLevel="0" collapsed="false">
      <c r="A29" s="6" t="s">
        <v>86</v>
      </c>
      <c r="B29" s="6" t="s">
        <v>87</v>
      </c>
      <c r="C29" s="6" t="s">
        <v>88</v>
      </c>
      <c r="D29" s="6" t="n">
        <v>1944</v>
      </c>
      <c r="E29" s="6" t="n">
        <v>18371</v>
      </c>
      <c r="F29" s="1" t="n">
        <v>474</v>
      </c>
      <c r="G29" s="1" t="n">
        <v>82090</v>
      </c>
      <c r="H29" s="1" t="n">
        <f aca="false">LOG(F29/D29,10)</f>
        <v>-0.612917918916171</v>
      </c>
      <c r="I29" s="1" t="n">
        <f aca="false">LOG(G29/E29,10)</f>
        <v>0.650157458496691</v>
      </c>
    </row>
    <row r="30" customFormat="false" ht="12.8" hidden="false" customHeight="false" outlineLevel="0" collapsed="false">
      <c r="A30" s="6" t="s">
        <v>89</v>
      </c>
      <c r="B30" s="6" t="s">
        <v>90</v>
      </c>
      <c r="C30" s="6" t="s">
        <v>91</v>
      </c>
      <c r="D30" s="6" t="n">
        <v>7551</v>
      </c>
      <c r="E30" s="6" t="n">
        <v>2570</v>
      </c>
      <c r="F30" s="1" t="n">
        <v>3106</v>
      </c>
      <c r="G30" s="1" t="n">
        <v>10684</v>
      </c>
      <c r="H30" s="1" t="n">
        <f aca="false">LOG(F30/D30,10)</f>
        <v>-0.385803018875485</v>
      </c>
      <c r="I30" s="1" t="n">
        <f aca="false">LOG(G30/E30,10)</f>
        <v>0.618800756018041</v>
      </c>
    </row>
    <row r="31" customFormat="false" ht="12.8" hidden="false" customHeight="false" outlineLevel="0" collapsed="false">
      <c r="A31" s="6" t="s">
        <v>92</v>
      </c>
      <c r="B31" s="6" t="s">
        <v>93</v>
      </c>
      <c r="C31" s="6" t="s">
        <v>94</v>
      </c>
      <c r="D31" s="6" t="n">
        <v>521</v>
      </c>
      <c r="E31" s="6" t="n">
        <v>75298</v>
      </c>
      <c r="F31" s="1" t="n">
        <v>1739</v>
      </c>
      <c r="G31" s="1" t="n">
        <v>21436</v>
      </c>
      <c r="H31" s="1" t="n">
        <f aca="false">LOG(F31/D31,10)</f>
        <v>0.523461858703188</v>
      </c>
      <c r="I31" s="1" t="n">
        <f aca="false">LOG(E31/G31,10)</f>
        <v>0.545639692629936</v>
      </c>
    </row>
    <row r="32" customFormat="false" ht="12.8" hidden="false" customHeight="false" outlineLevel="0" collapsed="false">
      <c r="A32" s="6" t="s">
        <v>95</v>
      </c>
      <c r="B32" s="6" t="s">
        <v>96</v>
      </c>
      <c r="C32" s="6" t="s">
        <v>97</v>
      </c>
      <c r="D32" s="6" t="n">
        <v>2482</v>
      </c>
      <c r="E32" s="6" t="n">
        <v>13951</v>
      </c>
      <c r="F32" s="1" t="n">
        <v>5525</v>
      </c>
      <c r="G32" s="1" t="n">
        <v>4252</v>
      </c>
      <c r="H32" s="1" t="n">
        <f aca="false">LOG(F32/D32,10)</f>
        <v>0.347530505194437</v>
      </c>
      <c r="I32" s="1" t="n">
        <f aca="false">LOG(E32/G32,10)</f>
        <v>0.516012082863485</v>
      </c>
    </row>
    <row r="33" customFormat="false" ht="12.8" hidden="false" customHeight="false" outlineLevel="0" collapsed="false">
      <c r="A33" s="6" t="s">
        <v>98</v>
      </c>
      <c r="B33" s="6" t="s">
        <v>99</v>
      </c>
      <c r="C33" s="6" t="s">
        <v>100</v>
      </c>
      <c r="D33" s="6" t="n">
        <v>860</v>
      </c>
      <c r="E33" s="6" t="n">
        <v>47565</v>
      </c>
      <c r="F33" s="1" t="n">
        <v>254</v>
      </c>
      <c r="G33" s="1" t="n">
        <v>150718</v>
      </c>
      <c r="H33" s="1" t="n">
        <f aca="false">LOG(F33/D33,10)</f>
        <v>-0.52966473462363</v>
      </c>
      <c r="I33" s="1" t="n">
        <f aca="false">LOG(G33/E33,10)</f>
        <v>0.500877621396773</v>
      </c>
    </row>
    <row r="34" customFormat="false" ht="12.8" hidden="false" customHeight="false" outlineLevel="0" collapsed="false">
      <c r="A34" s="6" t="s">
        <v>101</v>
      </c>
      <c r="B34" s="6" t="s">
        <v>102</v>
      </c>
      <c r="C34" s="6" t="s">
        <v>103</v>
      </c>
      <c r="D34" s="6" t="n">
        <v>1315</v>
      </c>
      <c r="E34" s="6" t="n">
        <v>29780</v>
      </c>
      <c r="F34" s="1" t="n">
        <v>3186</v>
      </c>
      <c r="G34" s="1" t="n">
        <v>9493</v>
      </c>
      <c r="H34" s="1" t="n">
        <f aca="false">LOG(F34/D34,10)</f>
        <v>0.384320018639336</v>
      </c>
      <c r="I34" s="1" t="n">
        <f aca="false">LOG(E34/G34,10)</f>
        <v>0.496521212542723</v>
      </c>
    </row>
    <row r="35" customFormat="false" ht="12.8" hidden="false" customHeight="false" outlineLevel="0" collapsed="false">
      <c r="A35" s="6" t="s">
        <v>104</v>
      </c>
      <c r="B35" s="6" t="s">
        <v>105</v>
      </c>
      <c r="C35" s="6" t="s">
        <v>48</v>
      </c>
      <c r="D35" s="6" t="n">
        <v>6090</v>
      </c>
      <c r="E35" s="6" t="n">
        <v>3506</v>
      </c>
      <c r="F35" s="1" t="n">
        <v>2990</v>
      </c>
      <c r="G35" s="1" t="n">
        <v>10752</v>
      </c>
      <c r="H35" s="1" t="n">
        <f aca="false">LOG(F35/D35,10)</f>
        <v>-0.308946104308446</v>
      </c>
      <c r="I35" s="1" t="n">
        <f aca="false">LOG(G35/E35,10)</f>
        <v>0.486677343951974</v>
      </c>
    </row>
    <row r="36" customFormat="false" ht="12.8" hidden="false" customHeight="false" outlineLevel="0" collapsed="false">
      <c r="A36" s="6" t="s">
        <v>106</v>
      </c>
      <c r="B36" s="6" t="s">
        <v>107</v>
      </c>
      <c r="C36" s="6" t="s">
        <v>108</v>
      </c>
      <c r="D36" s="6" t="n">
        <v>609</v>
      </c>
      <c r="E36" s="6" t="n">
        <v>63947</v>
      </c>
      <c r="F36" s="1" t="n">
        <v>1615</v>
      </c>
      <c r="G36" s="1" t="n">
        <v>22233</v>
      </c>
      <c r="H36" s="1" t="n">
        <f aca="false">LOG(F36/D36,10)</f>
        <v>0.423555234034246</v>
      </c>
      <c r="I36" s="1" t="n">
        <f aca="false">LOG(E36/G36,10)</f>
        <v>0.458822106879739</v>
      </c>
    </row>
    <row r="37" customFormat="false" ht="12.8" hidden="false" customHeight="false" outlineLevel="0" collapsed="false">
      <c r="A37" s="6" t="s">
        <v>109</v>
      </c>
      <c r="B37" s="6" t="s">
        <v>96</v>
      </c>
      <c r="C37" s="6" t="s">
        <v>110</v>
      </c>
      <c r="D37" s="6" t="n">
        <v>2482</v>
      </c>
      <c r="E37" s="6" t="n">
        <v>13951</v>
      </c>
      <c r="F37" s="1" t="n">
        <v>995</v>
      </c>
      <c r="G37" s="1" t="n">
        <v>40052</v>
      </c>
      <c r="H37" s="1" t="n">
        <f aca="false">LOG(F37/D37,10)</f>
        <v>-0.396978696416985</v>
      </c>
      <c r="I37" s="1" t="n">
        <f aca="false">LOG(G37/E37,10)</f>
        <v>0.458018868778593</v>
      </c>
    </row>
    <row r="38" customFormat="false" ht="12.8" hidden="false" customHeight="false" outlineLevel="0" collapsed="false">
      <c r="A38" s="6" t="s">
        <v>111</v>
      </c>
      <c r="B38" s="6" t="s">
        <v>112</v>
      </c>
      <c r="C38" s="6" t="s">
        <v>113</v>
      </c>
      <c r="D38" s="6" t="n">
        <v>7029</v>
      </c>
      <c r="E38" s="6" t="n">
        <v>2737</v>
      </c>
      <c r="F38" s="1" t="n">
        <v>12115</v>
      </c>
      <c r="G38" s="1" t="n">
        <v>1067</v>
      </c>
      <c r="H38" s="1" t="n">
        <f aca="false">LOG(F38/D38,10)</f>
        <v>0.2364298751569</v>
      </c>
      <c r="I38" s="1" t="n">
        <f aca="false">LOG(E38/G38,10)</f>
        <v>0.409110377985654</v>
      </c>
    </row>
    <row r="39" customFormat="false" ht="12.8" hidden="false" customHeight="false" outlineLevel="0" collapsed="false">
      <c r="A39" s="6" t="s">
        <v>114</v>
      </c>
      <c r="B39" s="6" t="s">
        <v>115</v>
      </c>
      <c r="C39" s="6" t="s">
        <v>77</v>
      </c>
      <c r="D39" s="6" t="n">
        <v>8646</v>
      </c>
      <c r="E39" s="6" t="n">
        <v>2043</v>
      </c>
      <c r="F39" s="1" t="n">
        <v>5042</v>
      </c>
      <c r="G39" s="1" t="n">
        <v>4963</v>
      </c>
      <c r="H39" s="1" t="n">
        <f aca="false">LOG(F39/D39,10)</f>
        <v>-0.234212389857206</v>
      </c>
      <c r="I39" s="1" t="n">
        <f aca="false">LOG(G39/E39,10)</f>
        <v>0.385475908564876</v>
      </c>
    </row>
    <row r="40" customFormat="false" ht="12.8" hidden="false" customHeight="false" outlineLevel="0" collapsed="false">
      <c r="A40" s="6" t="s">
        <v>116</v>
      </c>
      <c r="B40" s="6" t="s">
        <v>117</v>
      </c>
      <c r="C40" s="6" t="s">
        <v>118</v>
      </c>
      <c r="D40" s="6" t="n">
        <v>2835</v>
      </c>
      <c r="E40" s="6" t="n">
        <v>11119</v>
      </c>
      <c r="F40" s="1" t="n">
        <v>5103</v>
      </c>
      <c r="G40" s="1" t="n">
        <v>4779</v>
      </c>
      <c r="H40" s="1" t="n">
        <f aca="false">LOG(F40/D40,10)</f>
        <v>0.255272505103306</v>
      </c>
      <c r="I40" s="1" t="n">
        <f aca="false">LOG(E40/G40,10)</f>
        <v>0.366728699709894</v>
      </c>
    </row>
    <row r="41" customFormat="false" ht="12.8" hidden="false" customHeight="false" outlineLevel="0" collapsed="false">
      <c r="A41" s="6" t="s">
        <v>119</v>
      </c>
      <c r="B41" s="6" t="s">
        <v>120</v>
      </c>
      <c r="C41" s="6" t="s">
        <v>103</v>
      </c>
      <c r="D41" s="6" t="n">
        <v>1869</v>
      </c>
      <c r="E41" s="6" t="n">
        <v>19370</v>
      </c>
      <c r="F41" s="1" t="n">
        <v>3186</v>
      </c>
      <c r="G41" s="1" t="n">
        <v>9493</v>
      </c>
      <c r="H41" s="1" t="n">
        <f aca="false">LOG(F41/D41,10)</f>
        <v>0.231636470086281</v>
      </c>
      <c r="I41" s="1" t="n">
        <f aca="false">LOG(E41/G41,10)</f>
        <v>0.309726139845676</v>
      </c>
    </row>
    <row r="42" customFormat="false" ht="12.8" hidden="false" customHeight="false" outlineLevel="0" collapsed="false">
      <c r="A42" s="6" t="s">
        <v>121</v>
      </c>
      <c r="B42" s="6" t="s">
        <v>122</v>
      </c>
      <c r="C42" s="6" t="s">
        <v>14</v>
      </c>
      <c r="D42" s="6" t="n">
        <v>1363</v>
      </c>
      <c r="E42" s="6" t="n">
        <v>28600</v>
      </c>
      <c r="F42" s="6" t="n">
        <v>722</v>
      </c>
      <c r="G42" s="6" t="n">
        <v>54601</v>
      </c>
      <c r="H42" s="1" t="n">
        <f aca="false">LOG(F42/D42,10)</f>
        <v>-0.275958658265034</v>
      </c>
      <c r="I42" s="1" t="n">
        <f aca="false">LOG(G42/E42,10)</f>
        <v>0.280834563614245</v>
      </c>
    </row>
    <row r="43" customFormat="false" ht="12.8" hidden="false" customHeight="false" outlineLevel="0" collapsed="false">
      <c r="A43" s="6" t="s">
        <v>123</v>
      </c>
      <c r="B43" s="6" t="s">
        <v>124</v>
      </c>
      <c r="C43" s="6" t="s">
        <v>108</v>
      </c>
      <c r="D43" s="6" t="n">
        <v>1015</v>
      </c>
      <c r="E43" s="6" t="n">
        <v>39600</v>
      </c>
      <c r="F43" s="1" t="n">
        <v>1615</v>
      </c>
      <c r="G43" s="1" t="n">
        <v>22233</v>
      </c>
      <c r="H43" s="1" t="n">
        <f aca="false">LOG(F43/D43,10)</f>
        <v>0.20170648441789</v>
      </c>
      <c r="I43" s="1" t="n">
        <f aca="false">LOG(E43/G43,10)</f>
        <v>0.250697117939083</v>
      </c>
    </row>
    <row r="44" customFormat="false" ht="12.8" hidden="false" customHeight="false" outlineLevel="0" collapsed="false">
      <c r="A44" s="6" t="s">
        <v>125</v>
      </c>
      <c r="B44" s="6" t="s">
        <v>126</v>
      </c>
      <c r="C44" s="6" t="s">
        <v>23</v>
      </c>
      <c r="D44" s="6" t="n">
        <v>1458</v>
      </c>
      <c r="E44" s="6" t="n">
        <v>26279</v>
      </c>
      <c r="F44" s="6" t="n">
        <v>888</v>
      </c>
      <c r="G44" s="6" t="n">
        <v>44649</v>
      </c>
      <c r="H44" s="1" t="n">
        <f aca="false">LOG(F44/D44,10)</f>
        <v>-0.215344558203355</v>
      </c>
      <c r="I44" s="1" t="n">
        <f aca="false">LOG(G44/E44,10)</f>
        <v>0.230202901567407</v>
      </c>
    </row>
    <row r="45" customFormat="false" ht="12.8" hidden="false" customHeight="false" outlineLevel="0" collapsed="false">
      <c r="A45" s="6" t="s">
        <v>127</v>
      </c>
      <c r="B45" s="6" t="s">
        <v>70</v>
      </c>
      <c r="C45" s="6" t="s">
        <v>128</v>
      </c>
      <c r="D45" s="6" t="n">
        <v>1442</v>
      </c>
      <c r="E45" s="6" t="n">
        <v>26732</v>
      </c>
      <c r="F45" s="1" t="n">
        <v>2179</v>
      </c>
      <c r="G45" s="1" t="n">
        <v>16802</v>
      </c>
      <c r="H45" s="1" t="n">
        <f aca="false">LOG(F45/D45,10)</f>
        <v>0.179291969862845</v>
      </c>
      <c r="I45" s="1" t="n">
        <f aca="false">LOG(E45/G45,10)</f>
        <v>0.201670472078996</v>
      </c>
    </row>
    <row r="46" customFormat="false" ht="12.8" hidden="false" customHeight="false" outlineLevel="0" collapsed="false">
      <c r="A46" s="6" t="s">
        <v>129</v>
      </c>
      <c r="B46" s="6" t="s">
        <v>130</v>
      </c>
      <c r="C46" s="6" t="s">
        <v>131</v>
      </c>
      <c r="D46" s="6" t="n">
        <v>4770</v>
      </c>
      <c r="E46" s="6" t="n">
        <v>5162</v>
      </c>
      <c r="F46" s="1" t="n">
        <v>5853</v>
      </c>
      <c r="G46" s="1" t="n">
        <v>3839</v>
      </c>
      <c r="H46" s="1" t="n">
        <f aca="false">LOG(F46/D46,10)</f>
        <v>0.0888601450740666</v>
      </c>
      <c r="I46" s="1" t="n">
        <f aca="false">LOG(E46/G46,10)</f>
        <v>0.128599888090445</v>
      </c>
    </row>
  </sheetData>
  <autoFilter ref="A1:I4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34" activeCellId="0" sqref="C3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5" min="5" style="7" width="46.71"/>
  </cols>
  <sheetData>
    <row r="1" customFormat="false" ht="12.8" hidden="false" customHeight="false" outlineLevel="0" collapsed="false">
      <c r="A1" s="8" t="s">
        <v>132</v>
      </c>
      <c r="B1" s="8" t="s">
        <v>133</v>
      </c>
      <c r="C1" s="8" t="s">
        <v>134</v>
      </c>
      <c r="E1" s="8" t="s">
        <v>135</v>
      </c>
    </row>
    <row r="2" customFormat="false" ht="12.8" hidden="false" customHeight="false" outlineLevel="0" collapsed="false">
      <c r="B2" s="0" t="s">
        <v>136</v>
      </c>
      <c r="C2" s="0" t="s">
        <v>137</v>
      </c>
      <c r="E2" s="9" t="s">
        <v>64</v>
      </c>
    </row>
    <row r="3" customFormat="false" ht="12.8" hidden="false" customHeight="false" outlineLevel="0" collapsed="false">
      <c r="B3" s="0" t="s">
        <v>138</v>
      </c>
      <c r="C3" s="0" t="s">
        <v>139</v>
      </c>
      <c r="E3" s="9" t="s">
        <v>22</v>
      </c>
    </row>
    <row r="4" customFormat="false" ht="12.8" hidden="false" customHeight="false" outlineLevel="0" collapsed="false">
      <c r="A4" s="9" t="s">
        <v>55</v>
      </c>
      <c r="B4" s="0" t="s">
        <v>140</v>
      </c>
      <c r="C4" s="0" t="s">
        <v>141</v>
      </c>
      <c r="E4" s="9" t="s">
        <v>67</v>
      </c>
    </row>
    <row r="5" customFormat="false" ht="12.8" hidden="false" customHeight="false" outlineLevel="0" collapsed="false">
      <c r="B5" s="0" t="s">
        <v>142</v>
      </c>
      <c r="C5" s="0" t="s">
        <v>143</v>
      </c>
      <c r="E5" s="9" t="s">
        <v>31</v>
      </c>
    </row>
    <row r="6" customFormat="false" ht="12.8" hidden="false" customHeight="false" outlineLevel="0" collapsed="false">
      <c r="A6" s="9" t="s">
        <v>53</v>
      </c>
      <c r="B6" s="0" t="s">
        <v>144</v>
      </c>
      <c r="C6" s="0" t="s">
        <v>145</v>
      </c>
      <c r="E6" s="9" t="s">
        <v>9</v>
      </c>
    </row>
    <row r="7" customFormat="false" ht="12.8" hidden="false" customHeight="false" outlineLevel="0" collapsed="false">
      <c r="B7" s="0" t="s">
        <v>146</v>
      </c>
      <c r="C7" s="0" t="s">
        <v>147</v>
      </c>
      <c r="E7" s="9" t="s">
        <v>37</v>
      </c>
    </row>
    <row r="8" customFormat="false" ht="12.8" hidden="false" customHeight="false" outlineLevel="0" collapsed="false">
      <c r="B8" s="0" t="s">
        <v>148</v>
      </c>
      <c r="C8" s="0" t="s">
        <v>149</v>
      </c>
      <c r="E8" s="9" t="s">
        <v>19</v>
      </c>
    </row>
    <row r="9" customFormat="false" ht="12.8" hidden="false" customHeight="false" outlineLevel="0" collapsed="false">
      <c r="B9" s="0" t="s">
        <v>150</v>
      </c>
      <c r="C9" s="0" t="s">
        <v>151</v>
      </c>
      <c r="E9" s="9" t="s">
        <v>16</v>
      </c>
    </row>
    <row r="10" customFormat="false" ht="12.8" hidden="false" customHeight="false" outlineLevel="0" collapsed="false">
      <c r="A10" s="9" t="s">
        <v>44</v>
      </c>
      <c r="B10" s="0" t="s">
        <v>152</v>
      </c>
      <c r="C10" s="0" t="s">
        <v>153</v>
      </c>
      <c r="E10" s="9" t="s">
        <v>28</v>
      </c>
    </row>
    <row r="11" customFormat="false" ht="12.8" hidden="false" customHeight="false" outlineLevel="0" collapsed="false">
      <c r="A11" s="9" t="s">
        <v>50</v>
      </c>
      <c r="B11" s="0" t="s">
        <v>154</v>
      </c>
      <c r="C11" s="0" t="s">
        <v>155</v>
      </c>
      <c r="E11" s="9" t="s">
        <v>47</v>
      </c>
    </row>
    <row r="12" customFormat="false" ht="12.8" hidden="false" customHeight="false" outlineLevel="0" collapsed="false">
      <c r="A12" s="9" t="s">
        <v>39</v>
      </c>
      <c r="B12" s="0" t="s">
        <v>156</v>
      </c>
      <c r="C12" s="0" t="s">
        <v>157</v>
      </c>
      <c r="E12" s="9" t="s">
        <v>34</v>
      </c>
    </row>
    <row r="13" customFormat="false" ht="12.8" hidden="false" customHeight="false" outlineLevel="0" collapsed="false">
      <c r="A13" s="9" t="s">
        <v>42</v>
      </c>
      <c r="B13" s="0" t="s">
        <v>158</v>
      </c>
      <c r="C13" s="0" t="s">
        <v>159</v>
      </c>
      <c r="E13" s="0"/>
    </row>
    <row r="14" customFormat="false" ht="12.8" hidden="false" customHeight="false" outlineLevel="0" collapsed="false">
      <c r="B14" s="0" t="s">
        <v>160</v>
      </c>
      <c r="C14" s="0" t="s">
        <v>161</v>
      </c>
      <c r="E14" s="0"/>
    </row>
    <row r="15" customFormat="false" ht="12.8" hidden="false" customHeight="false" outlineLevel="0" collapsed="false">
      <c r="B15" s="0" t="s">
        <v>162</v>
      </c>
      <c r="C15" s="0" t="s">
        <v>163</v>
      </c>
      <c r="E15" s="0"/>
    </row>
    <row r="16" customFormat="false" ht="12.8" hidden="false" customHeight="false" outlineLevel="0" collapsed="false">
      <c r="B16" s="0" t="s">
        <v>164</v>
      </c>
      <c r="C16" s="0" t="s">
        <v>165</v>
      </c>
      <c r="E16" s="0"/>
    </row>
    <row r="17" customFormat="false" ht="12.8" hidden="false" customHeight="false" outlineLevel="0" collapsed="false">
      <c r="B17" s="0" t="s">
        <v>166</v>
      </c>
      <c r="C17" s="0" t="s">
        <v>167</v>
      </c>
      <c r="E17" s="0"/>
    </row>
    <row r="18" customFormat="false" ht="12.8" hidden="false" customHeight="false" outlineLevel="0" collapsed="false">
      <c r="A18" s="9" t="s">
        <v>13</v>
      </c>
      <c r="B18" s="0" t="s">
        <v>168</v>
      </c>
      <c r="C18" s="0" t="s">
        <v>169</v>
      </c>
      <c r="E18" s="0"/>
    </row>
    <row r="19" customFormat="false" ht="12.8" hidden="false" customHeight="false" outlineLevel="0" collapsed="false">
      <c r="A19" s="9" t="s">
        <v>61</v>
      </c>
      <c r="B19" s="0" t="s">
        <v>170</v>
      </c>
      <c r="C19" s="0" t="s">
        <v>171</v>
      </c>
      <c r="E19" s="0"/>
    </row>
    <row r="20" customFormat="false" ht="12.8" hidden="false" customHeight="false" outlineLevel="0" collapsed="false">
      <c r="B20" s="0" t="s">
        <v>172</v>
      </c>
      <c r="C20" s="0" t="s">
        <v>173</v>
      </c>
      <c r="E20" s="0"/>
    </row>
    <row r="21" customFormat="false" ht="12.8" hidden="false" customHeight="false" outlineLevel="0" collapsed="false">
      <c r="B21" s="0" t="s">
        <v>174</v>
      </c>
      <c r="C21" s="0" t="s">
        <v>175</v>
      </c>
      <c r="E21" s="0"/>
    </row>
    <row r="22" customFormat="false" ht="12.8" hidden="false" customHeight="false" outlineLevel="0" collapsed="false">
      <c r="B22" s="0" t="s">
        <v>176</v>
      </c>
      <c r="C22" s="0" t="s">
        <v>177</v>
      </c>
      <c r="E22" s="0"/>
    </row>
    <row r="23" customFormat="false" ht="12.8" hidden="false" customHeight="false" outlineLevel="0" collapsed="false">
      <c r="A23" s="9" t="s">
        <v>58</v>
      </c>
      <c r="B23" s="0" t="s">
        <v>178</v>
      </c>
      <c r="C23" s="0" t="s">
        <v>179</v>
      </c>
    </row>
    <row r="24" customFormat="false" ht="12.8" hidden="false" customHeight="false" outlineLevel="0" collapsed="false">
      <c r="B24" s="0" t="s">
        <v>180</v>
      </c>
      <c r="C24" s="0" t="s">
        <v>181</v>
      </c>
    </row>
    <row r="25" customFormat="false" ht="12.8" hidden="false" customHeight="false" outlineLevel="0" collapsed="false">
      <c r="B25" s="0" t="s">
        <v>182</v>
      </c>
      <c r="C25" s="0" t="s">
        <v>183</v>
      </c>
    </row>
    <row r="26" customFormat="false" ht="12.8" hidden="false" customHeight="false" outlineLevel="0" collapsed="false">
      <c r="B26" s="0" t="s">
        <v>184</v>
      </c>
      <c r="C26" s="0" t="s">
        <v>185</v>
      </c>
    </row>
    <row r="27" customFormat="false" ht="12.8" hidden="false" customHeight="false" outlineLevel="0" collapsed="false">
      <c r="B27" s="0" t="s">
        <v>186</v>
      </c>
      <c r="C27" s="0" t="s">
        <v>187</v>
      </c>
    </row>
    <row r="28" customFormat="false" ht="12.8" hidden="false" customHeight="false" outlineLevel="0" collapsed="false">
      <c r="B28" s="0" t="s">
        <v>188</v>
      </c>
      <c r="C28" s="0" t="s">
        <v>189</v>
      </c>
    </row>
    <row r="29" customFormat="false" ht="12.8" hidden="false" customHeight="false" outlineLevel="0" collapsed="false">
      <c r="B29" s="0" t="s">
        <v>190</v>
      </c>
      <c r="C29" s="0" t="s">
        <v>191</v>
      </c>
    </row>
    <row r="30" customFormat="false" ht="12.8" hidden="false" customHeight="false" outlineLevel="0" collapsed="false">
      <c r="B30" s="0" t="s">
        <v>192</v>
      </c>
      <c r="C30" s="0" t="s">
        <v>193</v>
      </c>
    </row>
    <row r="31" customFormat="false" ht="12.8" hidden="false" customHeight="false" outlineLevel="0" collapsed="false">
      <c r="B31" s="0" t="s">
        <v>194</v>
      </c>
      <c r="C31" s="0" t="s">
        <v>195</v>
      </c>
    </row>
    <row r="32" customFormat="false" ht="12.8" hidden="false" customHeight="false" outlineLevel="0" collapsed="false">
      <c r="B32" s="0" t="s">
        <v>196</v>
      </c>
      <c r="C32" s="0" t="s">
        <v>197</v>
      </c>
    </row>
    <row r="33" customFormat="false" ht="12.8" hidden="false" customHeight="false" outlineLevel="0" collapsed="false">
      <c r="A33" s="9" t="s">
        <v>25</v>
      </c>
      <c r="B33" s="0" t="s">
        <v>198</v>
      </c>
      <c r="C33" s="0" t="s">
        <v>199</v>
      </c>
    </row>
    <row r="34" customFormat="false" ht="12.8" hidden="false" customHeight="false" outlineLevel="0" collapsed="false">
      <c r="B34" s="0" t="s">
        <v>200</v>
      </c>
      <c r="C34" s="0" t="s">
        <v>201</v>
      </c>
    </row>
  </sheetData>
  <autoFilter ref="B1:C3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6323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2026-03-03T01:43:57Z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